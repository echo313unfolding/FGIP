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GIP Index Holdings" sheetId="1" state="visible" r:id="rId3"/>
    <sheet name="Sector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<sst xmlns="http://schemas.openxmlformats.org/spreadsheetml/2006/main" count="147" uniqueCount="147">
  <si>
    <t xml:space="preserve">FGIP THESIS-MAPPED INDEX — One Share Portfolio</t>
  </si>
  <si>
    <t xml:space="preserve">Prices as of Feb 20-21, 2026 (Friday close). Not investment advice.</t>
  </si>
  <si>
    <t xml:space="preserve">#</t>
  </si>
  <si>
    <t xml:space="preserve">Company</t>
  </si>
  <si>
    <t xml:space="preserve">Ticker</t>
  </si>
  <si>
    <t xml:space="preserve">Price/Share</t>
  </si>
  <si>
    <t xml:space="preserve">Thesis Connection (Problem Addressed)</t>
  </si>
  <si>
    <t xml:space="preserve">PHARMACEUTICAL SUPPLY CHAIN RESHORING</t>
  </si>
  <si>
    <t xml:space="preserve">Eli Lilly</t>
  </si>
  <si>
    <t xml:space="preserve">LLY</t>
  </si>
  <si>
    <t xml:space="preserve">$27B domestic API/sterile injectable expansion</t>
  </si>
  <si>
    <t xml:space="preserve">AbbVie</t>
  </si>
  <si>
    <t xml:space="preserve">ABBV</t>
  </si>
  <si>
    <t xml:space="preserve">$10B+ US commitment, $195M North Chicago API facility</t>
  </si>
  <si>
    <t xml:space="preserve">AstraZeneca</t>
  </si>
  <si>
    <t xml:space="preserve">AZN</t>
  </si>
  <si>
    <t xml:space="preserve">Largest single mfg investment — Virginia API facility</t>
  </si>
  <si>
    <t xml:space="preserve">Merck</t>
  </si>
  <si>
    <t xml:space="preserve">MRK</t>
  </si>
  <si>
    <t xml:space="preserve">US-based vaccine/biologics production expansion</t>
  </si>
  <si>
    <t xml:space="preserve">Johnson &amp; Johnson</t>
  </si>
  <si>
    <t xml:space="preserve">JNJ</t>
  </si>
  <si>
    <t xml:space="preserve">Domestic pharmaceutical manufacturing leader</t>
  </si>
  <si>
    <t xml:space="preserve">Sanofi</t>
  </si>
  <si>
    <t xml:space="preserve">SNY</t>
  </si>
  <si>
    <t xml:space="preserve">US insulin/biologics manufacturing commitments</t>
  </si>
  <si>
    <t xml:space="preserve">SEMICONDUCTORS &amp; ADVANCED PACKAGING</t>
  </si>
  <si>
    <t xml:space="preserve">Taiwan Semiconductor (US fabs)</t>
  </si>
  <si>
    <t xml:space="preserve">TSM</t>
  </si>
  <si>
    <t xml:space="preserve">$100B Arizona investment — 3 fabs + 2 packaging facilities</t>
  </si>
  <si>
    <t xml:space="preserve">Micron Technology</t>
  </si>
  <si>
    <t xml:space="preserve">MU</t>
  </si>
  <si>
    <t xml:space="preserve">$200B across Idaho/New York/Virginia memory fabs</t>
  </si>
  <si>
    <t xml:space="preserve">NVIDIA</t>
  </si>
  <si>
    <t xml:space="preserve">NVDA</t>
  </si>
  <si>
    <t xml:space="preserve">$500B US commitment — Blackwell chips AZ, supercomputers TX</t>
  </si>
  <si>
    <t xml:space="preserve">Intel</t>
  </si>
  <si>
    <t xml:space="preserve">INTC</t>
  </si>
  <si>
    <t xml:space="preserve">Ohio mega-fab complex, domestic foundry services</t>
  </si>
  <si>
    <t xml:space="preserve">Amkor Technology</t>
  </si>
  <si>
    <t xml:space="preserve">AMKR</t>
  </si>
  <si>
    <t xml:space="preserve">US advanced packaging facility near TSMC Arizona</t>
  </si>
  <si>
    <t xml:space="preserve">STEEL &amp; SPECIALTY METALS</t>
  </si>
  <si>
    <t xml:space="preserve">Nucor</t>
  </si>
  <si>
    <t xml:space="preserve">NUE</t>
  </si>
  <si>
    <t xml:space="preserve">EAF steelmaker feeding data center/fab construction boom</t>
  </si>
  <si>
    <t xml:space="preserve">Cleveland-Cliffs</t>
  </si>
  <si>
    <t xml:space="preserve">CLF</t>
  </si>
  <si>
    <t xml:space="preserve">$500M federal grant — Middletown OH hydrogen DRI conversion</t>
  </si>
  <si>
    <t xml:space="preserve">Steel Dynamics</t>
  </si>
  <si>
    <t xml:space="preserve">STLD</t>
  </si>
  <si>
    <t xml:space="preserve">Aluminum + steel reshoring, BIOEDGE low-carbon products</t>
  </si>
  <si>
    <t xml:space="preserve">ATI Inc.</t>
  </si>
  <si>
    <t xml:space="preserve">ATI</t>
  </si>
  <si>
    <t xml:space="preserve">Specialty alloys for defense/aerospace — titanium, nickel</t>
  </si>
  <si>
    <t xml:space="preserve">CRITICAL MINERALS &amp; RARE EARTHS</t>
  </si>
  <si>
    <t xml:space="preserve">MP Materials</t>
  </si>
  <si>
    <t xml:space="preserve">MP</t>
  </si>
  <si>
    <t xml:space="preserve">Mountain Pass CA — only large-scale US rare earth + TX magnets</t>
  </si>
  <si>
    <t xml:space="preserve">SHIPBUILDING &amp; NAVAL DEFENSE</t>
  </si>
  <si>
    <t xml:space="preserve">Huntington Ingalls</t>
  </si>
  <si>
    <t xml:space="preserve">HII</t>
  </si>
  <si>
    <t xml:space="preserve">Only US nuclear carrier/sub builder — 296 ships vs 355 mandate</t>
  </si>
  <si>
    <t xml:space="preserve">General Dynamics</t>
  </si>
  <si>
    <t xml:space="preserve">GD</t>
  </si>
  <si>
    <t xml:space="preserve">Bath Iron Works destroyers + NASSCO auxiliary ships</t>
  </si>
  <si>
    <t xml:space="preserve">Palantir</t>
  </si>
  <si>
    <t xml:space="preserve">PLTR</t>
  </si>
  <si>
    <t xml:space="preserve">ShipOS — AI/software layer for Navy submarine fleet</t>
  </si>
  <si>
    <t xml:space="preserve">Powell Industries</t>
  </si>
  <si>
    <t xml:space="preserve">POWL</t>
  </si>
  <si>
    <t xml:space="preserve">Electrical switchgear for shipyard/defense infrastructure</t>
  </si>
  <si>
    <t xml:space="preserve">INDUSTRIAL AUTOMATION &amp; RESHORING ENABLERS</t>
  </si>
  <si>
    <t xml:space="preserve">Rockwell Automation</t>
  </si>
  <si>
    <t xml:space="preserve">ROK</t>
  </si>
  <si>
    <t xml:space="preserve">Factory automation platforms for reshored manufacturing</t>
  </si>
  <si>
    <t xml:space="preserve">Caterpillar</t>
  </si>
  <si>
    <t xml:space="preserve">CAT</t>
  </si>
  <si>
    <t xml:space="preserve">Heavy equipment for factory/infrastructure construction</t>
  </si>
  <si>
    <t xml:space="preserve">Cognex</t>
  </si>
  <si>
    <t xml:space="preserve">CGNX</t>
  </si>
  <si>
    <t xml:space="preserve">Machine vision systems for automated production lines</t>
  </si>
  <si>
    <t xml:space="preserve">Ingersoll Rand</t>
  </si>
  <si>
    <t xml:space="preserve">IR</t>
  </si>
  <si>
    <t xml:space="preserve">Compressed air/fluid management for industrial facilities</t>
  </si>
  <si>
    <t xml:space="preserve">Parker-Hannifin</t>
  </si>
  <si>
    <t xml:space="preserve">PH</t>
  </si>
  <si>
    <t xml:space="preserve">Motion &amp; control systems — hydraulics, pneumatics, filtration</t>
  </si>
  <si>
    <t xml:space="preserve">Applied Industrial Tech</t>
  </si>
  <si>
    <t xml:space="preserve">AIT</t>
  </si>
  <si>
    <t xml:space="preserve">Industrial distribution — bearings, power transmission</t>
  </si>
  <si>
    <t xml:space="preserve">Terex</t>
  </si>
  <si>
    <t xml:space="preserve">TEX</t>
  </si>
  <si>
    <t xml:space="preserve">Aerial work platforms, materials processing equipment</t>
  </si>
  <si>
    <t xml:space="preserve">CONSUMER GOODS RESHORING</t>
  </si>
  <si>
    <t xml:space="preserve">Whirlpool</t>
  </si>
  <si>
    <t xml:space="preserve">WHR</t>
  </si>
  <si>
    <t xml:space="preserve">$300M Ohio investment — KitchenAid back from China, 96% US steel</t>
  </si>
  <si>
    <t xml:space="preserve">Stellantis</t>
  </si>
  <si>
    <t xml:space="preserve">STLA</t>
  </si>
  <si>
    <t xml:space="preserve">$13B over 4 yrs, 50% domestic production increase</t>
  </si>
  <si>
    <t xml:space="preserve">John Deere</t>
  </si>
  <si>
    <t xml:space="preserve">DE</t>
  </si>
  <si>
    <t xml:space="preserve">$20B over decade, $70M NC excavator factory from Japan</t>
  </si>
  <si>
    <t xml:space="preserve">ENERGY &amp; GRID MODERNIZATION</t>
  </si>
  <si>
    <t xml:space="preserve">Eaton Corp</t>
  </si>
  <si>
    <t xml:space="preserve">ETN</t>
  </si>
  <si>
    <t xml:space="preserve">Electrical infrastructure for reshored factory grid load</t>
  </si>
  <si>
    <t xml:space="preserve">GE Vernova</t>
  </si>
  <si>
    <t xml:space="preserve">GEV</t>
  </si>
  <si>
    <t xml:space="preserve">Grid turbines/transformers for manufacturing power demand</t>
  </si>
  <si>
    <t xml:space="preserve">Vertiv</t>
  </si>
  <si>
    <t xml:space="preserve">VRT</t>
  </si>
  <si>
    <t xml:space="preserve">Data center power/cooling — supports semiconductor fabs</t>
  </si>
  <si>
    <t xml:space="preserve">BWX Technologies</t>
  </si>
  <si>
    <t xml:space="preserve">BWXT</t>
  </si>
  <si>
    <t xml:space="preserve">Naval nuclear reactors + advanced nuclear for grid</t>
  </si>
  <si>
    <t xml:space="preserve">TECHNOLOGY SOVEREIGNTY</t>
  </si>
  <si>
    <t xml:space="preserve">Apple</t>
  </si>
  <si>
    <t xml:space="preserve">AAPL</t>
  </si>
  <si>
    <t xml:space="preserve">$500B+ over 4 yrs — US server/manufacturing expansion</t>
  </si>
  <si>
    <t xml:space="preserve">TOTAL — One Share of Each</t>
  </si>
  <si>
    <t xml:space="preserve">35 holdings across 9 sectors</t>
  </si>
  <si>
    <t xml:space="preserve">NOTES:</t>
  </si>
  <si>
    <t xml:space="preserve">• Prices are Friday Feb 21, 2026 closing prices from Yahoo Finance</t>
  </si>
  <si>
    <t xml:space="preserve">• This is one share of each holding — an actual ETF would weight by thesis conviction &amp; market cap</t>
  </si>
  <si>
    <t xml:space="preserve">• Private companies not included: Civica Rx, Cambrex, USA Rare Earth, Foxconn/Wistron, GE Appliances (Haier)</t>
  </si>
  <si>
    <t xml:space="preserve">• US Steel (X) delisted after Nippon Steel acquisition finalized 2025</t>
  </si>
  <si>
    <t xml:space="preserve">• Lynas Rare Earths trades OTC (LYSDY) — $258M DoD contract for TX heavy rare earth facility</t>
  </si>
  <si>
    <t xml:space="preserve">• RSHO (Tema American Reshoring ETF) is closest comparable — $236M AUM, 28.7% avg annual return</t>
  </si>
  <si>
    <t xml:space="preserve">FGIP DIFFERENTIATION: Each holding maps to a specific failure documented in the 8-layer causality chain.</t>
  </si>
  <si>
    <t xml:space="preserve">The index IS the thesis. No other product connects lobbying → offshoring → consequences → correction.</t>
  </si>
  <si>
    <t xml:space="preserve">FGIP Index — Sector Allocation Summary</t>
  </si>
  <si>
    <t xml:space="preserve">Sector</t>
  </si>
  <si>
    <t xml:space="preserve">Holdings</t>
  </si>
  <si>
    <t xml:space="preserve">Cost (1 share ea.)</t>
  </si>
  <si>
    <t xml:space="preserve">% of Total</t>
  </si>
  <si>
    <t xml:space="preserve">Pharmaceutical Supply Chain</t>
  </si>
  <si>
    <t xml:space="preserve">Semiconductors</t>
  </si>
  <si>
    <t xml:space="preserve">Steel &amp; Specialty Metals</t>
  </si>
  <si>
    <t xml:space="preserve">Critical Minerals</t>
  </si>
  <si>
    <t xml:space="preserve">Shipbuilding &amp; Naval Defense</t>
  </si>
  <si>
    <t xml:space="preserve">Industrial Automation</t>
  </si>
  <si>
    <t xml:space="preserve">Consumer Goods Reshoring</t>
  </si>
  <si>
    <t xml:space="preserve">Energy &amp; Grid</t>
  </si>
  <si>
    <t xml:space="preserve">Technology Sovereignty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</si>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</sst>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9"/>
      <color rgb="FF444444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9"/>
      <color rgb="FF444444"/>
      <name val="Arial"/>
      <family val="0"/>
      <charset val="1"/>
    </font>
    <font>
      <b val="true"/>
      <i val="true"/>
      <sz val="9"/>
      <color rgb="FF1F4E79"/>
      <name val="Arial"/>
      <family val="0"/>
      <charset val="1"/>
    </font>
    <font>
      <b val="true"/>
      <sz val="14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>
        <color rgb="FF1F4E79"/>
      </top>
      <bottom style="double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5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n">
        <v>1</v>
      </c>
      <c r="B6" s="6" t="s">
        <v>8</v>
      </c>
      <c r="C6" s="7" t="s">
        <v>9</v>
      </c>
      <c r="D6" s="8" t="n">
        <v>1009.52</v>
      </c>
      <c r="E6" s="9" t="s">
        <v>10</v>
      </c>
    </row>
    <row r="7" customFormat="false" ht="15" hidden="false" customHeight="false" outlineLevel="0" collapsed="false">
      <c r="A7" s="5" t="n">
        <v>2</v>
      </c>
      <c r="B7" s="6" t="s">
        <v>11</v>
      </c>
      <c r="C7" s="7" t="s">
        <v>12</v>
      </c>
      <c r="D7" s="8" t="n">
        <v>224.81</v>
      </c>
      <c r="E7" s="9" t="s">
        <v>13</v>
      </c>
    </row>
    <row r="8" customFormat="false" ht="15" hidden="false" customHeight="false" outlineLevel="0" collapsed="false">
      <c r="A8" s="5" t="n">
        <v>3</v>
      </c>
      <c r="B8" s="6" t="s">
        <v>14</v>
      </c>
      <c r="C8" s="7" t="s">
        <v>15</v>
      </c>
      <c r="D8" s="8" t="n">
        <v>204.2</v>
      </c>
      <c r="E8" s="9" t="s">
        <v>16</v>
      </c>
    </row>
    <row r="9" customFormat="false" ht="15" hidden="false" customHeight="false" outlineLevel="0" collapsed="false">
      <c r="A9" s="5" t="n">
        <v>4</v>
      </c>
      <c r="B9" s="6" t="s">
        <v>17</v>
      </c>
      <c r="C9" s="7" t="s">
        <v>18</v>
      </c>
      <c r="D9" s="8" t="n">
        <v>122.26</v>
      </c>
      <c r="E9" s="9" t="s">
        <v>19</v>
      </c>
    </row>
    <row r="10" customFormat="false" ht="15" hidden="false" customHeight="false" outlineLevel="0" collapsed="false">
      <c r="A10" s="5" t="n">
        <v>5</v>
      </c>
      <c r="B10" s="6" t="s">
        <v>20</v>
      </c>
      <c r="C10" s="7" t="s">
        <v>21</v>
      </c>
      <c r="D10" s="8" t="n">
        <v>242.49</v>
      </c>
      <c r="E10" s="9" t="s">
        <v>22</v>
      </c>
    </row>
    <row r="11" customFormat="false" ht="15" hidden="false" customHeight="false" outlineLevel="0" collapsed="false">
      <c r="A11" s="5" t="n">
        <v>6</v>
      </c>
      <c r="B11" s="6" t="s">
        <v>23</v>
      </c>
      <c r="C11" s="7" t="s">
        <v>24</v>
      </c>
      <c r="D11" s="8" t="n">
        <v>46.76</v>
      </c>
      <c r="E11" s="9" t="s">
        <v>25</v>
      </c>
    </row>
    <row r="12" customFormat="false" ht="15" hidden="false" customHeight="false" outlineLevel="0" collapsed="false">
      <c r="A12" s="4" t="s">
        <v>26</v>
      </c>
      <c r="B12" s="4"/>
      <c r="C12" s="4"/>
      <c r="D12" s="4"/>
      <c r="E12" s="4"/>
    </row>
    <row r="13" customFormat="false" ht="15" hidden="false" customHeight="false" outlineLevel="0" collapsed="false">
      <c r="A13" s="5" t="n">
        <v>7</v>
      </c>
      <c r="B13" s="6" t="s">
        <v>27</v>
      </c>
      <c r="C13" s="7" t="s">
        <v>28</v>
      </c>
      <c r="D13" s="8" t="n">
        <v>370.54</v>
      </c>
      <c r="E13" s="9" t="s">
        <v>29</v>
      </c>
    </row>
    <row r="14" customFormat="false" ht="15" hidden="false" customHeight="false" outlineLevel="0" collapsed="false">
      <c r="A14" s="5" t="n">
        <v>8</v>
      </c>
      <c r="B14" s="6" t="s">
        <v>30</v>
      </c>
      <c r="C14" s="7" t="s">
        <v>31</v>
      </c>
      <c r="D14" s="8" t="n">
        <v>428.17</v>
      </c>
      <c r="E14" s="9" t="s">
        <v>32</v>
      </c>
    </row>
    <row r="15" customFormat="false" ht="15" hidden="false" customHeight="false" outlineLevel="0" collapsed="false">
      <c r="A15" s="5" t="n">
        <v>9</v>
      </c>
      <c r="B15" s="6" t="s">
        <v>33</v>
      </c>
      <c r="C15" s="7" t="s">
        <v>34</v>
      </c>
      <c r="D15" s="8" t="n">
        <v>189.82</v>
      </c>
      <c r="E15" s="9" t="s">
        <v>35</v>
      </c>
    </row>
    <row r="16" customFormat="false" ht="15" hidden="false" customHeight="false" outlineLevel="0" collapsed="false">
      <c r="A16" s="5" t="n">
        <v>10</v>
      </c>
      <c r="B16" s="6" t="s">
        <v>36</v>
      </c>
      <c r="C16" s="7" t="s">
        <v>37</v>
      </c>
      <c r="D16" s="8" t="n">
        <v>44.11</v>
      </c>
      <c r="E16" s="9" t="s">
        <v>38</v>
      </c>
    </row>
    <row r="17" customFormat="false" ht="15" hidden="false" customHeight="false" outlineLevel="0" collapsed="false">
      <c r="A17" s="5" t="n">
        <v>11</v>
      </c>
      <c r="B17" s="6" t="s">
        <v>39</v>
      </c>
      <c r="C17" s="7" t="s">
        <v>40</v>
      </c>
      <c r="D17" s="8" t="n">
        <v>47.94</v>
      </c>
      <c r="E17" s="9" t="s">
        <v>41</v>
      </c>
    </row>
    <row r="18" customFormat="false" ht="15" hidden="false" customHeight="false" outlineLevel="0" collapsed="false">
      <c r="A18" s="4" t="s">
        <v>42</v>
      </c>
      <c r="B18" s="4"/>
      <c r="C18" s="4"/>
      <c r="D18" s="4"/>
      <c r="E18" s="4"/>
    </row>
    <row r="19" customFormat="false" ht="15" hidden="false" customHeight="false" outlineLevel="0" collapsed="false">
      <c r="A19" s="5" t="n">
        <v>12</v>
      </c>
      <c r="B19" s="6" t="s">
        <v>43</v>
      </c>
      <c r="C19" s="7" t="s">
        <v>44</v>
      </c>
      <c r="D19" s="8" t="n">
        <v>180.01</v>
      </c>
      <c r="E19" s="9" t="s">
        <v>45</v>
      </c>
    </row>
    <row r="20" customFormat="false" ht="15" hidden="false" customHeight="false" outlineLevel="0" collapsed="false">
      <c r="A20" s="5" t="n">
        <v>13</v>
      </c>
      <c r="B20" s="6" t="s">
        <v>46</v>
      </c>
      <c r="C20" s="7" t="s">
        <v>47</v>
      </c>
      <c r="D20" s="8" t="n">
        <v>10.65</v>
      </c>
      <c r="E20" s="9" t="s">
        <v>48</v>
      </c>
    </row>
    <row r="21" customFormat="false" ht="15" hidden="false" customHeight="false" outlineLevel="0" collapsed="false">
      <c r="A21" s="5" t="n">
        <v>14</v>
      </c>
      <c r="B21" s="6" t="s">
        <v>49</v>
      </c>
      <c r="C21" s="7" t="s">
        <v>50</v>
      </c>
      <c r="D21" s="8" t="n">
        <v>193.39</v>
      </c>
      <c r="E21" s="9" t="s">
        <v>51</v>
      </c>
    </row>
    <row r="22" customFormat="false" ht="15" hidden="false" customHeight="false" outlineLevel="0" collapsed="false">
      <c r="A22" s="5" t="n">
        <v>15</v>
      </c>
      <c r="B22" s="6" t="s">
        <v>52</v>
      </c>
      <c r="C22" s="7" t="s">
        <v>53</v>
      </c>
      <c r="D22" s="8" t="n">
        <v>158.87</v>
      </c>
      <c r="E22" s="9" t="s">
        <v>54</v>
      </c>
    </row>
    <row r="23" customFormat="false" ht="15" hidden="false" customHeight="false" outlineLevel="0" collapsed="false">
      <c r="A23" s="4" t="s">
        <v>55</v>
      </c>
      <c r="B23" s="4"/>
      <c r="C23" s="4"/>
      <c r="D23" s="4"/>
      <c r="E23" s="4"/>
    </row>
    <row r="24" customFormat="false" ht="15" hidden="false" customHeight="false" outlineLevel="0" collapsed="false">
      <c r="A24" s="5" t="n">
        <v>16</v>
      </c>
      <c r="B24" s="6" t="s">
        <v>56</v>
      </c>
      <c r="C24" s="7" t="s">
        <v>57</v>
      </c>
      <c r="D24" s="8" t="n">
        <v>55.34</v>
      </c>
      <c r="E24" s="9" t="s">
        <v>58</v>
      </c>
    </row>
    <row r="25" customFormat="false" ht="15" hidden="false" customHeight="false" outlineLevel="0" collapsed="false">
      <c r="A25" s="4" t="s">
        <v>59</v>
      </c>
      <c r="B25" s="4"/>
      <c r="C25" s="4"/>
      <c r="D25" s="4"/>
      <c r="E25" s="4"/>
    </row>
    <row r="26" customFormat="false" ht="15" hidden="false" customHeight="false" outlineLevel="0" collapsed="false">
      <c r="A26" s="5" t="n">
        <v>17</v>
      </c>
      <c r="B26" s="6" t="s">
        <v>60</v>
      </c>
      <c r="C26" s="7" t="s">
        <v>61</v>
      </c>
      <c r="D26" s="8" t="n">
        <v>437.57</v>
      </c>
      <c r="E26" s="9" t="s">
        <v>62</v>
      </c>
    </row>
    <row r="27" customFormat="false" ht="15" hidden="false" customHeight="false" outlineLevel="0" collapsed="false">
      <c r="A27" s="5" t="n">
        <v>18</v>
      </c>
      <c r="B27" s="6" t="s">
        <v>63</v>
      </c>
      <c r="C27" s="7" t="s">
        <v>64</v>
      </c>
      <c r="D27" s="8" t="n">
        <v>351.42</v>
      </c>
      <c r="E27" s="9" t="s">
        <v>65</v>
      </c>
    </row>
    <row r="28" customFormat="false" ht="15" hidden="false" customHeight="false" outlineLevel="0" collapsed="false">
      <c r="A28" s="5" t="n">
        <v>19</v>
      </c>
      <c r="B28" s="6" t="s">
        <v>66</v>
      </c>
      <c r="C28" s="7" t="s">
        <v>67</v>
      </c>
      <c r="D28" s="8" t="n">
        <v>135.24</v>
      </c>
      <c r="E28" s="9" t="s">
        <v>68</v>
      </c>
    </row>
    <row r="29" customFormat="false" ht="15" hidden="false" customHeight="false" outlineLevel="0" collapsed="false">
      <c r="A29" s="5" t="n">
        <v>20</v>
      </c>
      <c r="B29" s="6" t="s">
        <v>69</v>
      </c>
      <c r="C29" s="7" t="s">
        <v>70</v>
      </c>
      <c r="D29" s="8" t="n">
        <v>546.82</v>
      </c>
      <c r="E29" s="9" t="s">
        <v>71</v>
      </c>
    </row>
    <row r="30" customFormat="false" ht="15" hidden="false" customHeight="false" outlineLevel="0" collapsed="false">
      <c r="A30" s="4" t="s">
        <v>72</v>
      </c>
      <c r="B30" s="4"/>
      <c r="C30" s="4"/>
      <c r="D30" s="4"/>
      <c r="E30" s="4"/>
    </row>
    <row r="31" customFormat="false" ht="15" hidden="false" customHeight="false" outlineLevel="0" collapsed="false">
      <c r="A31" s="5" t="n">
        <v>21</v>
      </c>
      <c r="B31" s="6" t="s">
        <v>73</v>
      </c>
      <c r="C31" s="7" t="s">
        <v>74</v>
      </c>
      <c r="D31" s="8" t="n">
        <v>398.79</v>
      </c>
      <c r="E31" s="9" t="s">
        <v>75</v>
      </c>
    </row>
    <row r="32" customFormat="false" ht="15" hidden="false" customHeight="false" outlineLevel="0" collapsed="false">
      <c r="A32" s="5" t="n">
        <v>22</v>
      </c>
      <c r="B32" s="6" t="s">
        <v>76</v>
      </c>
      <c r="C32" s="7" t="s">
        <v>77</v>
      </c>
      <c r="D32" s="8" t="n">
        <v>759.74</v>
      </c>
      <c r="E32" s="9" t="s">
        <v>78</v>
      </c>
    </row>
    <row r="33" customFormat="false" ht="15" hidden="false" customHeight="false" outlineLevel="0" collapsed="false">
      <c r="A33" s="5" t="n">
        <v>23</v>
      </c>
      <c r="B33" s="6" t="s">
        <v>79</v>
      </c>
      <c r="C33" s="7" t="s">
        <v>80</v>
      </c>
      <c r="D33" s="8" t="n">
        <v>56.03</v>
      </c>
      <c r="E33" s="9" t="s">
        <v>81</v>
      </c>
    </row>
    <row r="34" customFormat="false" ht="15" hidden="false" customHeight="false" outlineLevel="0" collapsed="false">
      <c r="A34" s="5" t="n">
        <v>24</v>
      </c>
      <c r="B34" s="6" t="s">
        <v>82</v>
      </c>
      <c r="C34" s="7" t="s">
        <v>83</v>
      </c>
      <c r="D34" s="8" t="n">
        <v>95.6</v>
      </c>
      <c r="E34" s="9" t="s">
        <v>84</v>
      </c>
    </row>
    <row r="35" customFormat="false" ht="15" hidden="false" customHeight="false" outlineLevel="0" collapsed="false">
      <c r="A35" s="5" t="n">
        <v>25</v>
      </c>
      <c r="B35" s="6" t="s">
        <v>85</v>
      </c>
      <c r="C35" s="7" t="s">
        <v>86</v>
      </c>
      <c r="D35" s="8" t="n">
        <v>1022.23</v>
      </c>
      <c r="E35" s="9" t="s">
        <v>87</v>
      </c>
    </row>
    <row r="36" customFormat="false" ht="15" hidden="false" customHeight="false" outlineLevel="0" collapsed="false">
      <c r="A36" s="5" t="n">
        <v>26</v>
      </c>
      <c r="B36" s="6" t="s">
        <v>88</v>
      </c>
      <c r="C36" s="7" t="s">
        <v>89</v>
      </c>
      <c r="D36" s="8" t="n">
        <v>281.97</v>
      </c>
      <c r="E36" s="9" t="s">
        <v>90</v>
      </c>
    </row>
    <row r="37" customFormat="false" ht="15" hidden="false" customHeight="false" outlineLevel="0" collapsed="false">
      <c r="A37" s="5" t="n">
        <v>27</v>
      </c>
      <c r="B37" s="6" t="s">
        <v>91</v>
      </c>
      <c r="C37" s="7" t="s">
        <v>92</v>
      </c>
      <c r="D37" s="8" t="n">
        <v>68.17</v>
      </c>
      <c r="E37" s="9" t="s">
        <v>93</v>
      </c>
    </row>
    <row r="38" customFormat="false" ht="15" hidden="false" customHeight="false" outlineLevel="0" collapsed="false">
      <c r="A38" s="4" t="s">
        <v>94</v>
      </c>
      <c r="B38" s="4"/>
      <c r="C38" s="4"/>
      <c r="D38" s="4"/>
      <c r="E38" s="4"/>
    </row>
    <row r="39" customFormat="false" ht="23.85" hidden="false" customHeight="false" outlineLevel="0" collapsed="false">
      <c r="A39" s="5" t="n">
        <v>28</v>
      </c>
      <c r="B39" s="6" t="s">
        <v>95</v>
      </c>
      <c r="C39" s="7" t="s">
        <v>96</v>
      </c>
      <c r="D39" s="8" t="n">
        <v>84.49</v>
      </c>
      <c r="E39" s="9" t="s">
        <v>97</v>
      </c>
    </row>
    <row r="40" customFormat="false" ht="15" hidden="false" customHeight="false" outlineLevel="0" collapsed="false">
      <c r="A40" s="5" t="n">
        <v>29</v>
      </c>
      <c r="B40" s="6" t="s">
        <v>98</v>
      </c>
      <c r="C40" s="7" t="s">
        <v>99</v>
      </c>
      <c r="D40" s="8" t="n">
        <v>7.73</v>
      </c>
      <c r="E40" s="9" t="s">
        <v>100</v>
      </c>
    </row>
    <row r="41" customFormat="false" ht="15" hidden="false" customHeight="false" outlineLevel="0" collapsed="false">
      <c r="A41" s="5" t="n">
        <v>30</v>
      </c>
      <c r="B41" s="6" t="s">
        <v>101</v>
      </c>
      <c r="C41" s="7" t="s">
        <v>102</v>
      </c>
      <c r="D41" s="8" t="n">
        <v>662.49</v>
      </c>
      <c r="E41" s="9" t="s">
        <v>103</v>
      </c>
    </row>
    <row r="42" customFormat="false" ht="15" hidden="false" customHeight="false" outlineLevel="0" collapsed="false">
      <c r="A42" s="4" t="s">
        <v>104</v>
      </c>
      <c r="B42" s="4"/>
      <c r="C42" s="4"/>
      <c r="D42" s="4"/>
      <c r="E42" s="4"/>
    </row>
    <row r="43" customFormat="false" ht="15" hidden="false" customHeight="false" outlineLevel="0" collapsed="false">
      <c r="A43" s="5" t="n">
        <v>31</v>
      </c>
      <c r="B43" s="6" t="s">
        <v>105</v>
      </c>
      <c r="C43" s="7" t="s">
        <v>106</v>
      </c>
      <c r="D43" s="8" t="n">
        <v>373.38</v>
      </c>
      <c r="E43" s="9" t="s">
        <v>107</v>
      </c>
    </row>
    <row r="44" customFormat="false" ht="15" hidden="false" customHeight="false" outlineLevel="0" collapsed="false">
      <c r="A44" s="5" t="n">
        <v>32</v>
      </c>
      <c r="B44" s="6" t="s">
        <v>108</v>
      </c>
      <c r="C44" s="7" t="s">
        <v>109</v>
      </c>
      <c r="D44" s="8" t="n">
        <v>830.34</v>
      </c>
      <c r="E44" s="9" t="s">
        <v>110</v>
      </c>
    </row>
    <row r="45" customFormat="false" ht="15" hidden="false" customHeight="false" outlineLevel="0" collapsed="false">
      <c r="A45" s="5" t="n">
        <v>33</v>
      </c>
      <c r="B45" s="6" t="s">
        <v>111</v>
      </c>
      <c r="C45" s="7" t="s">
        <v>112</v>
      </c>
      <c r="D45" s="8" t="n">
        <v>243.75</v>
      </c>
      <c r="E45" s="9" t="s">
        <v>113</v>
      </c>
    </row>
    <row r="46" customFormat="false" ht="15" hidden="false" customHeight="false" outlineLevel="0" collapsed="false">
      <c r="A46" s="5" t="n">
        <v>34</v>
      </c>
      <c r="B46" s="6" t="s">
        <v>114</v>
      </c>
      <c r="C46" s="7" t="s">
        <v>115</v>
      </c>
      <c r="D46" s="8" t="n">
        <v>206.44</v>
      </c>
      <c r="E46" s="9" t="s">
        <v>116</v>
      </c>
    </row>
    <row r="47" customFormat="false" ht="15" hidden="false" customHeight="false" outlineLevel="0" collapsed="false">
      <c r="A47" s="4" t="s">
        <v>117</v>
      </c>
      <c r="B47" s="4"/>
      <c r="C47" s="4"/>
      <c r="D47" s="4"/>
      <c r="E47" s="4"/>
    </row>
    <row r="48" customFormat="false" ht="15" hidden="false" customHeight="false" outlineLevel="0" collapsed="false">
      <c r="A48" s="5" t="n">
        <v>35</v>
      </c>
      <c r="B48" s="6" t="s">
        <v>118</v>
      </c>
      <c r="C48" s="7" t="s">
        <v>119</v>
      </c>
      <c r="D48" s="8" t="n">
        <v>264.58</v>
      </c>
      <c r="E48" s="9" t="s">
        <v>120</v>
      </c>
    </row>
    <row r="50" customFormat="false" ht="15" hidden="false" customHeight="false" outlineLevel="0" collapsed="false">
      <c r="A50" s="10" t="s">
        <v>121</v>
      </c>
      <c r="B50" s="10"/>
      <c r="C50" s="10"/>
      <c r="D50" s="11" t="n">
        <f aca="false">SUM(D6,D7,D8,D9,D10,D11,D13,D14,D15,D16,D17,D19,D20,D21,D22,D24,D26,D27,D28,D29,D31,D32,D33,D34,D35,D36,D37,D39,D40,D41,D43,D44,D45,D46,D48)</f>
        <v>10355.66</v>
      </c>
      <c r="E50" s="12" t="s">
        <v>122</v>
      </c>
    </row>
    <row r="52" customFormat="false" ht="15" hidden="false" customHeight="false" outlineLevel="0" collapsed="false">
      <c r="A52" s="13" t="s">
        <v>123</v>
      </c>
      <c r="B52" s="13"/>
      <c r="C52" s="13"/>
      <c r="D52" s="13"/>
      <c r="E52" s="13"/>
    </row>
    <row r="53" customFormat="false" ht="15" hidden="false" customHeight="false" outlineLevel="0" collapsed="false">
      <c r="A53" s="14" t="s">
        <v>124</v>
      </c>
      <c r="B53" s="14"/>
      <c r="C53" s="14"/>
      <c r="D53" s="14"/>
      <c r="E53" s="14"/>
    </row>
    <row r="54" customFormat="false" ht="15" hidden="false" customHeight="false" outlineLevel="0" collapsed="false">
      <c r="A54" s="14" t="s">
        <v>125</v>
      </c>
      <c r="B54" s="14"/>
      <c r="C54" s="14"/>
      <c r="D54" s="14"/>
      <c r="E54" s="14"/>
    </row>
    <row r="55" customFormat="false" ht="15" hidden="false" customHeight="false" outlineLevel="0" collapsed="false">
      <c r="A55" s="14" t="s">
        <v>126</v>
      </c>
      <c r="B55" s="14"/>
      <c r="C55" s="14"/>
      <c r="D55" s="14"/>
      <c r="E55" s="14"/>
    </row>
    <row r="56" customFormat="false" ht="15" hidden="false" customHeight="false" outlineLevel="0" collapsed="false">
      <c r="A56" s="14" t="s">
        <v>127</v>
      </c>
      <c r="B56" s="14"/>
      <c r="C56" s="14"/>
      <c r="D56" s="14"/>
      <c r="E56" s="14"/>
    </row>
    <row r="57" customFormat="false" ht="15" hidden="false" customHeight="false" outlineLevel="0" collapsed="false">
      <c r="A57" s="14" t="s">
        <v>128</v>
      </c>
      <c r="B57" s="14"/>
      <c r="C57" s="14"/>
      <c r="D57" s="14"/>
      <c r="E57" s="14"/>
    </row>
    <row r="58" customFormat="false" ht="15" hidden="false" customHeight="false" outlineLevel="0" collapsed="false">
      <c r="A58" s="14" t="s">
        <v>129</v>
      </c>
      <c r="B58" s="14"/>
      <c r="C58" s="14"/>
      <c r="D58" s="14"/>
      <c r="E58" s="14"/>
    </row>
    <row r="59" customFormat="false" ht="15" hidden="false" customHeight="false" outlineLevel="0" collapsed="false">
      <c r="A59" s="15"/>
      <c r="B59" s="15"/>
      <c r="C59" s="15"/>
      <c r="D59" s="15"/>
      <c r="E59" s="15"/>
    </row>
    <row r="60" customFormat="false" ht="15" hidden="false" customHeight="false" outlineLevel="0" collapsed="false">
      <c r="A60" s="16" t="s">
        <v>130</v>
      </c>
      <c r="B60" s="16"/>
      <c r="C60" s="16"/>
      <c r="D60" s="16"/>
      <c r="E60" s="16"/>
    </row>
    <row r="61" customFormat="false" ht="15" hidden="false" customHeight="false" outlineLevel="0" collapsed="false">
      <c r="A61" s="14" t="s">
        <v>131</v>
      </c>
      <c r="B61" s="14"/>
      <c r="C61" s="14"/>
      <c r="D61" s="14"/>
      <c r="E61" s="14"/>
    </row>
  </sheetData>
  <mergeCells count="22">
    <mergeCell ref="A1:E1"/>
    <mergeCell ref="A2:E2"/>
    <mergeCell ref="A5:E5"/>
    <mergeCell ref="A12:E12"/>
    <mergeCell ref="A18:E18"/>
    <mergeCell ref="A23:E23"/>
    <mergeCell ref="A25:E25"/>
    <mergeCell ref="A30:E30"/>
    <mergeCell ref="A38:E38"/>
    <mergeCell ref="A42:E42"/>
    <mergeCell ref="A47:E47"/>
    <mergeCell ref="A50:C50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7" t="s">
        <v>132</v>
      </c>
      <c r="B1" s="17"/>
      <c r="C1" s="17"/>
      <c r="D1" s="17"/>
    </row>
    <row r="3" customFormat="false" ht="15" hidden="false" customHeight="false" outlineLevel="0" collapsed="false">
      <c r="A3" s="18" t="s">
        <v>133</v>
      </c>
      <c r="B3" s="18" t="s">
        <v>134</v>
      </c>
      <c r="C3" s="18" t="s">
        <v>135</v>
      </c>
      <c r="D3" s="18" t="s">
        <v>136</v>
      </c>
    </row>
    <row r="4" customFormat="false" ht="15" hidden="false" customHeight="false" outlineLevel="0" collapsed="false">
      <c r="A4" s="19" t="s">
        <v>137</v>
      </c>
      <c r="B4" s="20" t="n">
        <v>6</v>
      </c>
      <c r="C4" s="21" t="n">
        <v>1850.04</v>
      </c>
      <c r="D4" s="22" t="n">
        <v>0.178650129494402</v>
      </c>
    </row>
    <row r="5" customFormat="false" ht="15" hidden="false" customHeight="false" outlineLevel="0" collapsed="false">
      <c r="A5" s="19" t="s">
        <v>138</v>
      </c>
      <c r="B5" s="20" t="n">
        <v>5</v>
      </c>
      <c r="C5" s="21" t="n">
        <v>1080.58</v>
      </c>
      <c r="D5" s="22" t="n">
        <v>0.10434680165243</v>
      </c>
    </row>
    <row r="6" customFormat="false" ht="15" hidden="false" customHeight="false" outlineLevel="0" collapsed="false">
      <c r="A6" s="19" t="s">
        <v>139</v>
      </c>
      <c r="B6" s="20" t="n">
        <v>4</v>
      </c>
      <c r="C6" s="21" t="n">
        <v>542.92</v>
      </c>
      <c r="D6" s="22" t="n">
        <v>0.0524273682218227</v>
      </c>
    </row>
    <row r="7" customFormat="false" ht="15" hidden="false" customHeight="false" outlineLevel="0" collapsed="false">
      <c r="A7" s="19" t="s">
        <v>140</v>
      </c>
      <c r="B7" s="20" t="n">
        <v>1</v>
      </c>
      <c r="C7" s="21" t="n">
        <v>55.34</v>
      </c>
      <c r="D7" s="22" t="n">
        <v>0.00534393751822675</v>
      </c>
    </row>
    <row r="8" customFormat="false" ht="15" hidden="false" customHeight="false" outlineLevel="0" collapsed="false">
      <c r="A8" s="19" t="s">
        <v>141</v>
      </c>
      <c r="B8" s="20" t="n">
        <v>4</v>
      </c>
      <c r="C8" s="21" t="n">
        <v>1471.05</v>
      </c>
      <c r="D8" s="22" t="n">
        <v>0.142052751828469</v>
      </c>
    </row>
    <row r="9" customFormat="false" ht="15" hidden="false" customHeight="false" outlineLevel="0" collapsed="false">
      <c r="A9" s="19" t="s">
        <v>142</v>
      </c>
      <c r="B9" s="20" t="n">
        <v>7</v>
      </c>
      <c r="C9" s="21" t="n">
        <v>2682.53</v>
      </c>
      <c r="D9" s="22" t="n">
        <v>0.259039983931493</v>
      </c>
    </row>
    <row r="10" customFormat="false" ht="15" hidden="false" customHeight="false" outlineLevel="0" collapsed="false">
      <c r="A10" s="19" t="s">
        <v>143</v>
      </c>
      <c r="B10" s="20" t="n">
        <v>3</v>
      </c>
      <c r="C10" s="21" t="n">
        <v>754.71</v>
      </c>
      <c r="D10" s="22" t="n">
        <v>0.0728789859844761</v>
      </c>
    </row>
    <row r="11" customFormat="false" ht="15" hidden="false" customHeight="false" outlineLevel="0" collapsed="false">
      <c r="A11" s="19" t="s">
        <v>144</v>
      </c>
      <c r="B11" s="20" t="n">
        <v>4</v>
      </c>
      <c r="C11" s="21" t="n">
        <v>1653.91</v>
      </c>
      <c r="D11" s="22" t="n">
        <v>0.159710728239436</v>
      </c>
    </row>
    <row r="12" customFormat="false" ht="15" hidden="false" customHeight="false" outlineLevel="0" collapsed="false">
      <c r="A12" s="19" t="s">
        <v>145</v>
      </c>
      <c r="B12" s="20" t="n">
        <v>1</v>
      </c>
      <c r="C12" s="21" t="n">
        <v>264.58</v>
      </c>
      <c r="D12" s="22" t="n">
        <v>0.0255493131292453</v>
      </c>
    </row>
    <row r="13" customFormat="false" ht="15" hidden="false" customHeight="false" outlineLevel="0" collapsed="false">
      <c r="A13" s="23" t="s">
        <v>146</v>
      </c>
      <c r="B13" s="24" t="n">
        <v>35</v>
      </c>
      <c r="C13" s="25" t="n">
        <v>10355.66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2026-02-22T22:18:01Z</dcterms:created>
  <dc:creator>openpyxl</dc:creator>
  <dc:description/>
  <dc:language>en-US</dc:language>
  <cp:lastModifiedBy/>
  <dcterms:modified xsi:type="dcterms:W3CDTF">2026-02-22T22:18:01Z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